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VIKRANT\Downloads\"/>
    </mc:Choice>
  </mc:AlternateContent>
  <xr:revisionPtr revIDLastSave="0" documentId="13_ncr:1_{C8E92BD5-7773-45B2-ACAC-B3AA9D029949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a="1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C6" i="18"/>
  <c r="D6" i="18"/>
  <c r="E6" i="18"/>
  <c r="F6" i="18"/>
  <c r="C7" i="18"/>
  <c r="D7" i="18"/>
  <c r="E7" i="18"/>
  <c r="F7" i="18"/>
  <c r="C8" i="18"/>
  <c r="D8" i="18"/>
  <c r="E8" i="18"/>
  <c r="F8" i="18"/>
  <c r="C9" i="18"/>
  <c r="D9" i="18"/>
  <c r="E9" i="18"/>
  <c r="F9" i="18"/>
  <c r="C10" i="18"/>
  <c r="D10" i="18"/>
  <c r="E10" i="18"/>
  <c r="F10" i="18"/>
  <c r="C11" i="18"/>
  <c r="D11" i="18"/>
  <c r="E11" i="18"/>
  <c r="F11" i="18"/>
  <c r="C12" i="18"/>
  <c r="D12" i="18"/>
  <c r="E12" i="18"/>
  <c r="F12" i="18"/>
  <c r="C13" i="18"/>
  <c r="D13" i="18"/>
  <c r="E13" i="18"/>
  <c r="F13" i="18"/>
  <c r="C14" i="18"/>
  <c r="D14" i="18"/>
  <c r="E14" i="18"/>
  <c r="F14" i="18"/>
  <c r="C15" i="18"/>
  <c r="D15" i="18"/>
  <c r="E15" i="18"/>
  <c r="F15" i="18"/>
  <c r="C16" i="18"/>
  <c r="D16" i="18"/>
  <c r="E16" i="18"/>
  <c r="F16" i="18"/>
  <c r="C17" i="18"/>
  <c r="D17" i="18"/>
  <c r="E17" i="18"/>
  <c r="F17" i="18"/>
  <c r="C18" i="18"/>
  <c r="D18" i="18"/>
  <c r="E18" i="18"/>
  <c r="F18" i="18"/>
  <c r="C19" i="18"/>
  <c r="D19" i="18"/>
  <c r="E19" i="18"/>
  <c r="F19" i="18"/>
  <c r="C20" i="18"/>
  <c r="D20" i="18"/>
  <c r="E20" i="18"/>
  <c r="F20" i="18"/>
  <c r="C21" i="18"/>
  <c r="D21" i="18"/>
  <c r="E21" i="18"/>
  <c r="F21" i="18"/>
  <c r="C22" i="18"/>
  <c r="D22" i="18"/>
  <c r="E22" i="18"/>
  <c r="F22" i="18"/>
  <c r="C23" i="18"/>
  <c r="D23" i="18"/>
  <c r="E23" i="18"/>
  <c r="F23" i="18"/>
  <c r="C24" i="18"/>
  <c r="D24" i="18"/>
  <c r="E24" i="18"/>
  <c r="F24" i="18"/>
  <c r="C25" i="18"/>
  <c r="D25" i="18"/>
  <c r="E25" i="18"/>
  <c r="F25" i="18"/>
  <c r="C26" i="18"/>
  <c r="D26" i="18"/>
  <c r="E26" i="18"/>
  <c r="F26" i="18"/>
  <c r="C27" i="18"/>
  <c r="D27" i="18"/>
  <c r="E27" i="18"/>
  <c r="F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 a="1"/>
  <c r="C5" i="15"/>
  <c r="H41" i="1" a="1"/>
  <c r="H4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<sst xmlns="http://schemas.openxmlformats.org/spreadsheetml/2006/main" count="406" uniqueCount="183">
  <si>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</si>
  <si>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</si>
  <si>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</si>
  <si>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</si>
  <si>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</si>
  <si>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</si>
  <si>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</si>
  <si>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</si>
  <si>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</si>
  <si>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</si>
  <si>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</si>
  <si>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</si>
  <si>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</si>
  <si>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</si>
  <si>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</si>
  <si>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</si>
  <si>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</si>
  <si>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</si>
  <si>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</si>
  <si>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</si>
  <si>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</si>
  <si>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</si>
  <si>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</si>
  <si>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</si>
  <si>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</si>
  <si>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</si>
  <si>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</si>
  <si>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</si>
  <si>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</si>
  <si>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</si>
  <si>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</si>
  <si>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</si>
  <si>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</si>
  <si>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</si>
  <si>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</si>
  <si>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</si>
  <si>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</si>
  <si>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</si>
  <si>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</si>
  <si>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</si>
  <si>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</si>
  <si>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</si>
  <si>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</si>
  <si>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</si>
  <si>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</si>
  <si>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</si>
  <si>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</si>
  <si>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</si>
  <si>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</si>
  <si>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</si>
  <si>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</si>
  <si>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</si>
  <si>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</si>
  <si>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</si>
  <si>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</si>
  <si>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</si>
  <si>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</si>
  <si>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</si>
  <si>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</si>
  <si>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</si>
  <si>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</si>
  <si>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</si>
  <si>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</si>
  <si>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</si>
  <si>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</si>
  <si>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</si>
  <si>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</si>
  <si>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</si>
  <si>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</si>
  <si>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</si>
  <si>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</si>
  <si>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</si>
  <si>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</si>
  <si>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</si>
  <si>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</si>
  <si>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</si>
  <si>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</si>
  <si>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</si>
  <si>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</si>
  <si>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</si>
  <si>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</si>
  <si>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</si>
  <si>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</si>
  <si>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</si>
  <si>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</si>
  <si>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</si>
  <si>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</si>
  <si>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</si>
  <si>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</si>
  <si>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</si>
  <si>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</si>
  <si>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</si>
  <si>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</si>
  <si>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</si>
  <si>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</si>
  <si>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</si>
  <si>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</si>
  <si>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</si>
  <si>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</si>
  <si>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</si>
  <si>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</si>
  <si>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</si>
  <si>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</si>
  <si>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</si>
  <si>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</si>
  <si>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</si>
  <si>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</si>
  <si>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</si>
  <si>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</si>
  <si>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</si>
  <si>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</si>
  <si>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</si>
  <si>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</si>
  <si>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</si>
  <si>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</si>
  <si>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</si>
  <si>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</si>
  <si>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</si>
  <si>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</si>
  <si>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</si>
  <si>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</si>
  <si>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</si>
  <si>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</si>
  <si>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</si>
  <si>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</si>
  <si>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</si>
  <si>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</si>
  <si>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</si>
  <si>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</si>
  <si>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</si>
  <si>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</si>
  <si>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</si>
  <si>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</si>
  <si>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</si>
  <si>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</si>
  <si>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</si>
  <si>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</si>
  <si>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</si>
  <si>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</si>
  <si>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</si>
  <si>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</si>
  <si>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</si>
  <si>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</si>
  <si>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</si>
  <si>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</si>
  <si>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</si>
  <si>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</si>
  <si>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</si>
  <si>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</si>
  <si>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</si>
  <si>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</si>
  <si>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</si>
  <si>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</si>
  <si>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</si>
  <si>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</si>
  <si>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</si>
  <si>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</si>
  <si>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</si>
  <si>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</si>
  <si>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</si>
  <si>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</si>
  <si>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</si>
  <si>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</si>
  <si>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</si>
  <si>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</si>
  <si>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</si>
  <si>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</si>
  <si>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</si>
  <si>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</si>
  <si>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</si>
  <si>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</si>
  <si>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</si>
  <si>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</si>
  <si>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</si>
  <si>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</si>
  <si>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</si>
  <si>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</si>
  <si>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Text to column wizard in data tab</t>
  </si>
  <si>
    <t>Used Excel's Text to Columns Wizard on data from A16 to A54, selected "Delimited" and chose "-" as the delimiter, then placed the result in B16 to F54</t>
  </si>
  <si>
    <t>IF, ISNA, SUM</t>
  </si>
  <si>
    <t>the formula =SUM(IF(ISNA(Table_A), 20, Table_A)) calculates the sum of sales in Table_A, replacing all #N/A values with '20'</t>
  </si>
  <si>
    <t>Index, match, vlookup</t>
  </si>
  <si>
    <t>formula uses VLOOKUP to find values corresponding to "name_1" and "name_2" in Table B, then employs MATCH functions to determine their positions in Tables A and B. Finally, INDEX is used to retrieve the intersecting value from the specified range in Table 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</si>
</sst>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6">
    <dxf>
      <font>
        <color rgb="FF00B05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5"/>
      <tableStyleElement type="headerRow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H1" zoomScaleNormal="100" workbookViewId="0">
      <pane ySplit="1" topLeftCell="A26" activePane="bottomLeft" state="frozen"/>
      <selection pane="bottomLeft" activeCell="A40" sqref="A40:XFD40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1" spans="1:24" x14ac:dyDescent="0.35">
      <c r="H41" s="1" cm="1">
        <f t="array" ref="H41">SUM(_xlfn._xlws.FILTER(H2:H40,H2:H40&gt;20))</f>
        <v>1473.0000000000002</v>
      </c>
    </row>
  </sheetData>
  <conditionalFormatting sqref="A1:A1048576">
    <cfRule type="duplicateValues" dxfId="6" priority="5"/>
  </conditionalFormatting>
  <conditionalFormatting sqref="B1:B1048576">
    <cfRule type="duplicateValues" dxfId="5" priority="4"/>
  </conditionalFormatting>
  <conditionalFormatting sqref="A1:X40">
    <cfRule type="cellIs" dxfId="4" priority="3" operator="equal">
      <formula>-1</formula>
    </cfRule>
  </conditionalFormatting>
  <conditionalFormatting sqref="G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21" sqref="B21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 cm="1">
        <f t="array" ref="C5">SUM(_xlfn._xlws.FILTER(Dataset!H2:H40,Dataset!H2:H40&gt;20))</f>
        <v>1473.0000000000002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23" sqref="H23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INDEX(Dataset!$B$2:$X$40,MATCH(Task_2!$A6,Dataset!$A$2:$A$40,0),MATCH(Task_2!B$5,Dataset!$B$1:$X$1,0))</f>
        <v>2.7</v>
      </c>
      <c r="C6" s="11">
        <f>INDEX(Dataset!$B$2:$X$40,MATCH(Task_2!$A6,Dataset!$A$2:$A$40,0),MATCH(Task_2!C$5,Dataset!$B$1:$X$1,0))</f>
        <v>7.6</v>
      </c>
      <c r="D6" s="11">
        <f>INDEX(Dataset!$B$2:$X$40,MATCH(Task_2!$A6,Dataset!$A$2:$A$40,0),MATCH(Task_2!D$5,Dataset!$B$1:$X$1,0))</f>
        <v>4.2</v>
      </c>
      <c r="E6" s="11">
        <f>INDEX(Dataset!$B$2:$X$40,MATCH(Task_2!$A6,Dataset!$A$2:$A$40,0),MATCH(Task_2!E$5,Dataset!$B$1:$X$1,0))</f>
        <v>8.9</v>
      </c>
      <c r="F6" s="11">
        <f>INDEX(Dataset!$B$2:$X$40,MATCH(Task_2!$A6,Dataset!$A$2:$A$40,0),MATCH(Task_2!F$5,Dataset!$B$1:$X$1,0))</f>
        <v>4.2</v>
      </c>
    </row>
    <row r="7" spans="1:7" ht="14.5" x14ac:dyDescent="0.35">
      <c r="A7" s="7" t="s">
        <v>4</v>
      </c>
      <c r="B7" s="11">
        <f>INDEX(Dataset!$B$2:$X$40,MATCH(Task_2!$A7,Dataset!$A$2:$A$40,0),MATCH(Task_2!B$5,Dataset!$B$1:$X$1,0))</f>
        <v>2.7</v>
      </c>
      <c r="C7" s="11">
        <f>INDEX(Dataset!$B$2:$X$40,MATCH(Task_2!$A7,Dataset!$A$2:$A$40,0),MATCH(Task_2!C$5,Dataset!$B$1:$X$1,0))</f>
        <v>7.6</v>
      </c>
      <c r="D7" s="11">
        <f>INDEX(Dataset!$B$2:$X$40,MATCH(Task_2!$A7,Dataset!$A$2:$A$40,0),MATCH(Task_2!D$5,Dataset!$B$1:$X$1,0))</f>
        <v>4.2</v>
      </c>
      <c r="E7" s="11">
        <f>INDEX(Dataset!$B$2:$X$40,MATCH(Task_2!$A7,Dataset!$A$2:$A$40,0),MATCH(Task_2!E$5,Dataset!$B$1:$X$1,0))</f>
        <v>8.9</v>
      </c>
      <c r="F7" s="11">
        <f>INDEX(Dataset!$B$2:$X$40,MATCH(Task_2!$A7,Dataset!$A$2:$A$40,0),MATCH(Task_2!F$5,Dataset!$B$1:$X$1,0))</f>
        <v>4.2</v>
      </c>
    </row>
    <row r="8" spans="1:7" ht="14.5" x14ac:dyDescent="0.35">
      <c r="A8" s="7" t="s">
        <v>7</v>
      </c>
      <c r="B8" s="11">
        <f>INDEX(Dataset!$B$2:$X$40,MATCH(Task_2!$A8,Dataset!$A$2:$A$40,0),MATCH(Task_2!B$5,Dataset!$B$1:$X$1,0))</f>
        <v>3.6</v>
      </c>
      <c r="C8" s="11">
        <f>INDEX(Dataset!$B$2:$X$40,MATCH(Task_2!$A8,Dataset!$A$2:$A$40,0),MATCH(Task_2!C$5,Dataset!$B$1:$X$1,0))</f>
        <v>11.1</v>
      </c>
      <c r="D8" s="11">
        <f>INDEX(Dataset!$B$2:$X$40,MATCH(Task_2!$A8,Dataset!$A$2:$A$40,0),MATCH(Task_2!D$5,Dataset!$B$1:$X$1,0))</f>
        <v>5.8</v>
      </c>
      <c r="E8" s="11">
        <f>INDEX(Dataset!$B$2:$X$40,MATCH(Task_2!$A8,Dataset!$A$2:$A$40,0),MATCH(Task_2!E$5,Dataset!$B$1:$X$1,0))</f>
        <v>12.2</v>
      </c>
      <c r="F8" s="11">
        <f>INDEX(Dataset!$B$2:$X$40,MATCH(Task_2!$A8,Dataset!$A$2:$A$40,0),MATCH(Task_2!F$5,Dataset!$B$1:$X$1,0))</f>
        <v>5.8</v>
      </c>
    </row>
    <row r="9" spans="1:7" ht="14.5" x14ac:dyDescent="0.35">
      <c r="A9" s="7" t="s">
        <v>8</v>
      </c>
      <c r="B9" s="11">
        <f>INDEX(Dataset!$B$2:$X$40,MATCH(Task_2!$A9,Dataset!$A$2:$A$40,0),MATCH(Task_2!B$5,Dataset!$B$1:$X$1,0))</f>
        <v>4.9000000000000004</v>
      </c>
      <c r="C9" s="11">
        <f>INDEX(Dataset!$B$2:$X$40,MATCH(Task_2!$A9,Dataset!$A$2:$A$40,0),MATCH(Task_2!C$5,Dataset!$B$1:$X$1,0))</f>
        <v>13.3</v>
      </c>
      <c r="D9" s="11">
        <f>INDEX(Dataset!$B$2:$X$40,MATCH(Task_2!$A9,Dataset!$A$2:$A$40,0),MATCH(Task_2!D$5,Dataset!$B$1:$X$1,0))</f>
        <v>8.1</v>
      </c>
      <c r="E9" s="11">
        <f>INDEX(Dataset!$B$2:$X$40,MATCH(Task_2!$A9,Dataset!$A$2:$A$40,0),MATCH(Task_2!E$5,Dataset!$B$1:$X$1,0))</f>
        <v>17</v>
      </c>
      <c r="F9" s="11">
        <f>INDEX(Dataset!$B$2:$X$40,MATCH(Task_2!$A9,Dataset!$A$2:$A$40,0),MATCH(Task_2!F$5,Dataset!$B$1:$X$1,0))</f>
        <v>8.1</v>
      </c>
    </row>
    <row r="10" spans="1:7" ht="14.5" x14ac:dyDescent="0.35">
      <c r="A10" s="7" t="s">
        <v>11</v>
      </c>
      <c r="B10" s="11">
        <f>INDEX(Dataset!$B$2:$X$40,MATCH(Task_2!$A10,Dataset!$A$2:$A$40,0),MATCH(Task_2!B$5,Dataset!$B$1:$X$1,0))</f>
        <v>9.4</v>
      </c>
      <c r="C10" s="11">
        <f>INDEX(Dataset!$B$2:$X$40,MATCH(Task_2!$A10,Dataset!$A$2:$A$40,0),MATCH(Task_2!C$5,Dataset!$B$1:$X$1,0))</f>
        <v>28.3</v>
      </c>
      <c r="D10" s="11">
        <f>INDEX(Dataset!$B$2:$X$40,MATCH(Task_2!$A10,Dataset!$A$2:$A$40,0),MATCH(Task_2!D$5,Dataset!$B$1:$X$1,0))</f>
        <v>16.100000000000001</v>
      </c>
      <c r="E10" s="11">
        <f>INDEX(Dataset!$B$2:$X$40,MATCH(Task_2!$A10,Dataset!$A$2:$A$40,0),MATCH(Task_2!E$5,Dataset!$B$1:$X$1,0))</f>
        <v>32.799999999999997</v>
      </c>
      <c r="F10" s="11">
        <f>INDEX(Dataset!$B$2:$X$40,MATCH(Task_2!$A10,Dataset!$A$2:$A$40,0),MATCH(Task_2!F$5,Dataset!$B$1:$X$1,0))</f>
        <v>16.100000000000001</v>
      </c>
    </row>
    <row r="11" spans="1:7" ht="14.5" x14ac:dyDescent="0.35">
      <c r="A11" s="7" t="s">
        <v>12</v>
      </c>
      <c r="B11" s="11">
        <f>INDEX(Dataset!$B$2:$X$40,MATCH(Task_2!$A11,Dataset!$A$2:$A$40,0),MATCH(Task_2!B$5,Dataset!$B$1:$X$1,0))</f>
        <v>11.6</v>
      </c>
      <c r="C11" s="11">
        <f>INDEX(Dataset!$B$2:$X$40,MATCH(Task_2!$A11,Dataset!$A$2:$A$40,0),MATCH(Task_2!C$5,Dataset!$B$1:$X$1,0))</f>
        <v>35.200000000000003</v>
      </c>
      <c r="D11" s="11">
        <f>INDEX(Dataset!$B$2:$X$40,MATCH(Task_2!$A11,Dataset!$A$2:$A$40,0),MATCH(Task_2!D$5,Dataset!$B$1:$X$1,0))</f>
        <v>21.3</v>
      </c>
      <c r="E11" s="11">
        <f>INDEX(Dataset!$B$2:$X$40,MATCH(Task_2!$A11,Dataset!$A$2:$A$40,0),MATCH(Task_2!E$5,Dataset!$B$1:$X$1,0))</f>
        <v>43</v>
      </c>
      <c r="F11" s="11">
        <f>INDEX(Dataset!$B$2:$X$40,MATCH(Task_2!$A11,Dataset!$A$2:$A$40,0),MATCH(Task_2!F$5,Dataset!$B$1:$X$1,0))</f>
        <v>21.3</v>
      </c>
    </row>
    <row r="12" spans="1:7" ht="14.5" x14ac:dyDescent="0.35">
      <c r="A12" s="7" t="s">
        <v>14</v>
      </c>
      <c r="B12" s="11">
        <f>INDEX(Dataset!$B$2:$X$40,MATCH(Task_2!$A12,Dataset!$A$2:$A$40,0),MATCH(Task_2!B$5,Dataset!$B$1:$X$1,0))</f>
        <v>18.399999999999999</v>
      </c>
      <c r="C12" s="11">
        <f>INDEX(Dataset!$B$2:$X$40,MATCH(Task_2!$A12,Dataset!$A$2:$A$40,0),MATCH(Task_2!C$5,Dataset!$B$1:$X$1,0))</f>
        <v>55.6</v>
      </c>
      <c r="D12" s="11">
        <f>INDEX(Dataset!$B$2:$X$40,MATCH(Task_2!$A12,Dataset!$A$2:$A$40,0),MATCH(Task_2!D$5,Dataset!$B$1:$X$1,0))</f>
        <v>33.799999999999997</v>
      </c>
      <c r="E12" s="11">
        <f>INDEX(Dataset!$B$2:$X$40,MATCH(Task_2!$A12,Dataset!$A$2:$A$40,0),MATCH(Task_2!E$5,Dataset!$B$1:$X$1,0))</f>
        <v>67.900000000000006</v>
      </c>
      <c r="F12" s="11">
        <f>INDEX(Dataset!$B$2:$X$40,MATCH(Task_2!$A12,Dataset!$A$2:$A$40,0),MATCH(Task_2!F$5,Dataset!$B$1:$X$1,0))</f>
        <v>33.799999999999997</v>
      </c>
    </row>
    <row r="13" spans="1:7" ht="14.5" x14ac:dyDescent="0.35">
      <c r="A13" s="7" t="s">
        <v>15</v>
      </c>
      <c r="B13" s="11">
        <f>INDEX(Dataset!$B$2:$X$40,MATCH(Task_2!$A13,Dataset!$A$2:$A$40,0),MATCH(Task_2!B$5,Dataset!$B$1:$X$1,0))</f>
        <v>0</v>
      </c>
      <c r="C13" s="11">
        <f>INDEX(Dataset!$B$2:$X$40,MATCH(Task_2!$A13,Dataset!$A$2:$A$40,0),MATCH(Task_2!C$5,Dataset!$B$1:$X$1,0))</f>
        <v>0</v>
      </c>
      <c r="D13" s="11">
        <f>INDEX(Dataset!$B$2:$X$40,MATCH(Task_2!$A13,Dataset!$A$2:$A$40,0),MATCH(Task_2!D$5,Dataset!$B$1:$X$1,0))</f>
        <v>0</v>
      </c>
      <c r="E13" s="11">
        <f>INDEX(Dataset!$B$2:$X$40,MATCH(Task_2!$A13,Dataset!$A$2:$A$40,0),MATCH(Task_2!E$5,Dataset!$B$1:$X$1,0))</f>
        <v>0</v>
      </c>
      <c r="F13" s="11">
        <f>INDEX(Dataset!$B$2:$X$40,MATCH(Task_2!$A13,Dataset!$A$2:$A$40,0),MATCH(Task_2!F$5,Dataset!$B$1:$X$1,0))</f>
        <v>0</v>
      </c>
    </row>
    <row r="14" spans="1:7" ht="14.5" x14ac:dyDescent="0.35">
      <c r="A14" s="7" t="s">
        <v>16</v>
      </c>
      <c r="B14" s="11">
        <f>INDEX(Dataset!$B$2:$X$40,MATCH(Task_2!$A14,Dataset!$A$2:$A$40,0),MATCH(Task_2!B$5,Dataset!$B$1:$X$1,0))</f>
        <v>21.9</v>
      </c>
      <c r="C14" s="11">
        <f>INDEX(Dataset!$B$2:$X$40,MATCH(Task_2!$A14,Dataset!$A$2:$A$40,0),MATCH(Task_2!C$5,Dataset!$B$1:$X$1,0))</f>
        <v>61.5</v>
      </c>
      <c r="D14" s="11">
        <f>INDEX(Dataset!$B$2:$X$40,MATCH(Task_2!$A14,Dataset!$A$2:$A$40,0),MATCH(Task_2!D$5,Dataset!$B$1:$X$1,0))</f>
        <v>40.1</v>
      </c>
      <c r="E14" s="11">
        <f>INDEX(Dataset!$B$2:$X$40,MATCH(Task_2!$A14,Dataset!$A$2:$A$40,0),MATCH(Task_2!E$5,Dataset!$B$1:$X$1,0))</f>
        <v>76.599999999999994</v>
      </c>
      <c r="F14" s="11">
        <f>INDEX(Dataset!$B$2:$X$40,MATCH(Task_2!$A14,Dataset!$A$2:$A$40,0),MATCH(Task_2!F$5,Dataset!$B$1:$X$1,0))</f>
        <v>40.1</v>
      </c>
    </row>
    <row r="15" spans="1:7" ht="14.5" x14ac:dyDescent="0.35">
      <c r="A15" s="7" t="s">
        <v>18</v>
      </c>
      <c r="B15" s="11">
        <f>INDEX(Dataset!$B$2:$X$40,MATCH(Task_2!$A15,Dataset!$A$2:$A$40,0),MATCH(Task_2!B$5,Dataset!$B$1:$X$1,0))</f>
        <v>26.8</v>
      </c>
      <c r="C15" s="11">
        <f>INDEX(Dataset!$B$2:$X$40,MATCH(Task_2!$A15,Dataset!$A$2:$A$40,0),MATCH(Task_2!C$5,Dataset!$B$1:$X$1,0))</f>
        <v>79.599999999999994</v>
      </c>
      <c r="D15" s="11">
        <f>INDEX(Dataset!$B$2:$X$40,MATCH(Task_2!$A15,Dataset!$A$2:$A$40,0),MATCH(Task_2!D$5,Dataset!$B$1:$X$1,0))</f>
        <v>47.9</v>
      </c>
      <c r="E15" s="11">
        <f>INDEX(Dataset!$B$2:$X$40,MATCH(Task_2!$A15,Dataset!$A$2:$A$40,0),MATCH(Task_2!E$5,Dataset!$B$1:$X$1,0))</f>
        <v>96.8</v>
      </c>
      <c r="F15" s="11">
        <f>INDEX(Dataset!$B$2:$X$40,MATCH(Task_2!$A15,Dataset!$A$2:$A$40,0),MATCH(Task_2!F$5,Dataset!$B$1:$X$1,0))</f>
        <v>47.9</v>
      </c>
    </row>
    <row r="16" spans="1:7" ht="14.5" x14ac:dyDescent="0.35">
      <c r="A16" s="7" t="s">
        <v>20</v>
      </c>
      <c r="B16" s="11">
        <f>INDEX(Dataset!$B$2:$X$40,MATCH(Task_2!$A16,Dataset!$A$2:$A$40,0),MATCH(Task_2!B$5,Dataset!$B$1:$X$1,0))</f>
        <v>28.5</v>
      </c>
      <c r="C16" s="11">
        <f>INDEX(Dataset!$B$2:$X$40,MATCH(Task_2!$A16,Dataset!$A$2:$A$40,0),MATCH(Task_2!C$5,Dataset!$B$1:$X$1,0))</f>
        <v>85.4</v>
      </c>
      <c r="D16" s="11">
        <f>INDEX(Dataset!$B$2:$X$40,MATCH(Task_2!$A16,Dataset!$A$2:$A$40,0),MATCH(Task_2!D$5,Dataset!$B$1:$X$1,0))</f>
        <v>52.3</v>
      </c>
      <c r="E16" s="11">
        <f>INDEX(Dataset!$B$2:$X$40,MATCH(Task_2!$A16,Dataset!$A$2:$A$40,0),MATCH(Task_2!E$5,Dataset!$B$1:$X$1,0))</f>
        <v>106.1</v>
      </c>
      <c r="F16" s="11">
        <f>INDEX(Dataset!$B$2:$X$40,MATCH(Task_2!$A16,Dataset!$A$2:$A$40,0),MATCH(Task_2!F$5,Dataset!$B$1:$X$1,0))</f>
        <v>52.3</v>
      </c>
    </row>
    <row r="17" spans="1:6" ht="14.5" x14ac:dyDescent="0.35">
      <c r="A17" s="7" t="s">
        <v>22</v>
      </c>
      <c r="B17" s="11">
        <f>INDEX(Dataset!$B$2:$X$40,MATCH(Task_2!$A17,Dataset!$A$2:$A$40,0),MATCH(Task_2!B$5,Dataset!$B$1:$X$1,0))</f>
        <v>30.7</v>
      </c>
      <c r="C17" s="11">
        <f>INDEX(Dataset!$B$2:$X$40,MATCH(Task_2!$A17,Dataset!$A$2:$A$40,0),MATCH(Task_2!C$5,Dataset!$B$1:$X$1,0))</f>
        <v>92.1</v>
      </c>
      <c r="D17" s="11">
        <f>INDEX(Dataset!$B$2:$X$40,MATCH(Task_2!$A17,Dataset!$A$2:$A$40,0),MATCH(Task_2!D$5,Dataset!$B$1:$X$1,0))</f>
        <v>57</v>
      </c>
      <c r="E17" s="11">
        <f>INDEX(Dataset!$B$2:$X$40,MATCH(Task_2!$A17,Dataset!$A$2:$A$40,0),MATCH(Task_2!E$5,Dataset!$B$1:$X$1,0))</f>
        <v>115.1</v>
      </c>
      <c r="F17" s="11">
        <f>INDEX(Dataset!$B$2:$X$40,MATCH(Task_2!$A17,Dataset!$A$2:$A$40,0),MATCH(Task_2!F$5,Dataset!$B$1:$X$1,0))</f>
        <v>57</v>
      </c>
    </row>
    <row r="18" spans="1:6" ht="14.5" x14ac:dyDescent="0.35">
      <c r="A18" s="7" t="s">
        <v>23</v>
      </c>
      <c r="B18" s="11">
        <f>INDEX(Dataset!$B$2:$X$40,MATCH(Task_2!$A18,Dataset!$A$2:$A$40,0),MATCH(Task_2!B$5,Dataset!$B$1:$X$1,0))</f>
        <v>33.799999999999997</v>
      </c>
      <c r="C18" s="11">
        <f>INDEX(Dataset!$B$2:$X$40,MATCH(Task_2!$A18,Dataset!$A$2:$A$40,0),MATCH(Task_2!C$5,Dataset!$B$1:$X$1,0))</f>
        <v>101.3</v>
      </c>
      <c r="D18" s="11">
        <f>INDEX(Dataset!$B$2:$X$40,MATCH(Task_2!$A18,Dataset!$A$2:$A$40,0),MATCH(Task_2!D$5,Dataset!$B$1:$X$1,0))</f>
        <v>61.4</v>
      </c>
      <c r="E18" s="11">
        <f>INDEX(Dataset!$B$2:$X$40,MATCH(Task_2!$A18,Dataset!$A$2:$A$40,0),MATCH(Task_2!E$5,Dataset!$B$1:$X$1,0))</f>
        <v>124.4</v>
      </c>
      <c r="F18" s="11">
        <f>INDEX(Dataset!$B$2:$X$40,MATCH(Task_2!$A18,Dataset!$A$2:$A$40,0),MATCH(Task_2!F$5,Dataset!$B$1:$X$1,0))</f>
        <v>61.4</v>
      </c>
    </row>
    <row r="19" spans="1:6" ht="14.5" x14ac:dyDescent="0.35">
      <c r="A19" s="7" t="s">
        <v>24</v>
      </c>
      <c r="B19" s="11">
        <f>INDEX(Dataset!$B$2:$X$40,MATCH(Task_2!$A19,Dataset!$A$2:$A$40,0),MATCH(Task_2!B$5,Dataset!$B$1:$X$1,0))</f>
        <v>34.700000000000003</v>
      </c>
      <c r="C19" s="11">
        <f>INDEX(Dataset!$B$2:$X$40,MATCH(Task_2!$A19,Dataset!$A$2:$A$40,0),MATCH(Task_2!C$5,Dataset!$B$1:$X$1,0))</f>
        <v>106.1</v>
      </c>
      <c r="D19" s="11">
        <f>INDEX(Dataset!$B$2:$X$40,MATCH(Task_2!$A19,Dataset!$A$2:$A$40,0),MATCH(Task_2!D$5,Dataset!$B$1:$X$1,0))</f>
        <v>63.6</v>
      </c>
      <c r="E19" s="11">
        <f>INDEX(Dataset!$B$2:$X$40,MATCH(Task_2!$A19,Dataset!$A$2:$A$40,0),MATCH(Task_2!E$5,Dataset!$B$1:$X$1,0))</f>
        <v>128.6</v>
      </c>
      <c r="F19" s="11">
        <f>INDEX(Dataset!$B$2:$X$40,MATCH(Task_2!$A19,Dataset!$A$2:$A$40,0),MATCH(Task_2!F$5,Dataset!$B$1:$X$1,0))</f>
        <v>63.6</v>
      </c>
    </row>
    <row r="20" spans="1:6" ht="14.5" x14ac:dyDescent="0.35">
      <c r="A20" s="7" t="s">
        <v>28</v>
      </c>
      <c r="B20" s="11">
        <f>INDEX(Dataset!$B$2:$X$40,MATCH(Task_2!$A20,Dataset!$A$2:$A$40,0),MATCH(Task_2!B$5,Dataset!$B$1:$X$1,0))</f>
        <v>0</v>
      </c>
      <c r="C20" s="11">
        <f>INDEX(Dataset!$B$2:$X$40,MATCH(Task_2!$A20,Dataset!$A$2:$A$40,0),MATCH(Task_2!C$5,Dataset!$B$1:$X$1,0))</f>
        <v>0</v>
      </c>
      <c r="D20" s="11">
        <f>INDEX(Dataset!$B$2:$X$40,MATCH(Task_2!$A20,Dataset!$A$2:$A$40,0),MATCH(Task_2!D$5,Dataset!$B$1:$X$1,0))</f>
        <v>0</v>
      </c>
      <c r="E20" s="11">
        <f>INDEX(Dataset!$B$2:$X$40,MATCH(Task_2!$A20,Dataset!$A$2:$A$40,0),MATCH(Task_2!E$5,Dataset!$B$1:$X$1,0))</f>
        <v>0</v>
      </c>
      <c r="F20" s="11">
        <f>INDEX(Dataset!$B$2:$X$40,MATCH(Task_2!$A20,Dataset!$A$2:$A$40,0),MATCH(Task_2!F$5,Dataset!$B$1:$X$1,0))</f>
        <v>0</v>
      </c>
    </row>
    <row r="21" spans="1:6" ht="14.5" x14ac:dyDescent="0.35">
      <c r="A21" s="7" t="s">
        <v>57</v>
      </c>
      <c r="B21" s="11">
        <f>INDEX(Dataset!$B$2:$X$40,MATCH(Task_2!$A21,Dataset!$A$2:$A$40,0),MATCH(Task_2!B$5,Dataset!$B$1:$X$1,0))</f>
        <v>41.3</v>
      </c>
      <c r="C21" s="11">
        <f>INDEX(Dataset!$B$2:$X$40,MATCH(Task_2!$A21,Dataset!$A$2:$A$40,0),MATCH(Task_2!C$5,Dataset!$B$1:$X$1,0))</f>
        <v>124.4</v>
      </c>
      <c r="D21" s="11">
        <f>INDEX(Dataset!$B$2:$X$40,MATCH(Task_2!$A21,Dataset!$A$2:$A$40,0),MATCH(Task_2!D$5,Dataset!$B$1:$X$1,0))</f>
        <v>75</v>
      </c>
      <c r="E21" s="11">
        <f>INDEX(Dataset!$B$2:$X$40,MATCH(Task_2!$A21,Dataset!$A$2:$A$40,0),MATCH(Task_2!E$5,Dataset!$B$1:$X$1,0))</f>
        <v>151.5</v>
      </c>
      <c r="F21" s="11">
        <f>INDEX(Dataset!$B$2:$X$40,MATCH(Task_2!$A21,Dataset!$A$2:$A$40,0),MATCH(Task_2!F$5,Dataset!$B$1:$X$1,0))</f>
        <v>75</v>
      </c>
    </row>
    <row r="22" spans="1:6" ht="14.5" x14ac:dyDescent="0.35">
      <c r="A22" s="7" t="s">
        <v>58</v>
      </c>
      <c r="B22" s="11">
        <f>INDEX(Dataset!$B$2:$X$40,MATCH(Task_2!$A22,Dataset!$A$2:$A$40,0),MATCH(Task_2!B$5,Dataset!$B$1:$X$1,0))</f>
        <v>-1</v>
      </c>
      <c r="C22" s="11">
        <f>INDEX(Dataset!$B$2:$X$40,MATCH(Task_2!$A22,Dataset!$A$2:$A$40,0),MATCH(Task_2!C$5,Dataset!$B$1:$X$1,0))</f>
        <v>-1</v>
      </c>
      <c r="D22" s="11">
        <f>INDEX(Dataset!$B$2:$X$40,MATCH(Task_2!$A22,Dataset!$A$2:$A$40,0),MATCH(Task_2!D$5,Dataset!$B$1:$X$1,0))</f>
        <v>-1</v>
      </c>
      <c r="E22" s="11">
        <f>INDEX(Dataset!$B$2:$X$40,MATCH(Task_2!$A22,Dataset!$A$2:$A$40,0),MATCH(Task_2!E$5,Dataset!$B$1:$X$1,0))</f>
        <v>-1</v>
      </c>
      <c r="F22" s="11">
        <f>INDEX(Dataset!$B$2:$X$40,MATCH(Task_2!$A22,Dataset!$A$2:$A$40,0),MATCH(Task_2!F$5,Dataset!$B$1:$X$1,0))</f>
        <v>-1</v>
      </c>
    </row>
    <row r="23" spans="1:6" ht="14.5" x14ac:dyDescent="0.35">
      <c r="A23" s="7" t="s">
        <v>31</v>
      </c>
      <c r="B23" s="11">
        <f>INDEX(Dataset!$B$2:$X$40,MATCH(Task_2!$A23,Dataset!$A$2:$A$40,0),MATCH(Task_2!B$5,Dataset!$B$1:$X$1,0))</f>
        <v>45</v>
      </c>
      <c r="C23" s="11">
        <f>INDEX(Dataset!$B$2:$X$40,MATCH(Task_2!$A23,Dataset!$A$2:$A$40,0),MATCH(Task_2!C$5,Dataset!$B$1:$X$1,0))</f>
        <v>133.4</v>
      </c>
      <c r="D23" s="11">
        <f>INDEX(Dataset!$B$2:$X$40,MATCH(Task_2!$A23,Dataset!$A$2:$A$40,0),MATCH(Task_2!D$5,Dataset!$B$1:$X$1,0))</f>
        <v>79.400000000000006</v>
      </c>
      <c r="E23" s="11">
        <f>INDEX(Dataset!$B$2:$X$40,MATCH(Task_2!$A23,Dataset!$A$2:$A$40,0),MATCH(Task_2!E$5,Dataset!$B$1:$X$1,0))</f>
        <v>160.9</v>
      </c>
      <c r="F23" s="11">
        <f>INDEX(Dataset!$B$2:$X$40,MATCH(Task_2!$A23,Dataset!$A$2:$A$40,0),MATCH(Task_2!F$5,Dataset!$B$1:$X$1,0))</f>
        <v>79.400000000000006</v>
      </c>
    </row>
    <row r="24" spans="1:6" ht="14.5" x14ac:dyDescent="0.35">
      <c r="A24" s="7" t="s">
        <v>32</v>
      </c>
      <c r="B24" s="11">
        <f>INDEX(Dataset!$B$2:$X$40,MATCH(Task_2!$A24,Dataset!$A$2:$A$40,0),MATCH(Task_2!B$5,Dataset!$B$1:$X$1,0))</f>
        <v>-1</v>
      </c>
      <c r="C24" s="11">
        <f>INDEX(Dataset!$B$2:$X$40,MATCH(Task_2!$A24,Dataset!$A$2:$A$40,0),MATCH(Task_2!C$5,Dataset!$B$1:$X$1,0))</f>
        <v>-1</v>
      </c>
      <c r="D24" s="11">
        <f>INDEX(Dataset!$B$2:$X$40,MATCH(Task_2!$A24,Dataset!$A$2:$A$40,0),MATCH(Task_2!D$5,Dataset!$B$1:$X$1,0))</f>
        <v>-1</v>
      </c>
      <c r="E24" s="11">
        <f>INDEX(Dataset!$B$2:$X$40,MATCH(Task_2!$A24,Dataset!$A$2:$A$40,0),MATCH(Task_2!E$5,Dataset!$B$1:$X$1,0))</f>
        <v>-1</v>
      </c>
      <c r="F24" s="11">
        <f>INDEX(Dataset!$B$2:$X$40,MATCH(Task_2!$A24,Dataset!$A$2:$A$40,0),MATCH(Task_2!F$5,Dataset!$B$1:$X$1,0))</f>
        <v>-1</v>
      </c>
    </row>
    <row r="25" spans="1:6" ht="14.5" x14ac:dyDescent="0.35">
      <c r="A25" s="7" t="s">
        <v>34</v>
      </c>
      <c r="B25" s="11">
        <f>INDEX(Dataset!$B$2:$X$40,MATCH(Task_2!$A25,Dataset!$A$2:$A$40,0),MATCH(Task_2!B$5,Dataset!$B$1:$X$1,0))</f>
        <v>43.3</v>
      </c>
      <c r="C25" s="11">
        <f>INDEX(Dataset!$B$2:$X$40,MATCH(Task_2!$A25,Dataset!$A$2:$A$40,0),MATCH(Task_2!C$5,Dataset!$B$1:$X$1,0))</f>
        <v>128.6</v>
      </c>
      <c r="D25" s="11">
        <f>INDEX(Dataset!$B$2:$X$40,MATCH(Task_2!$A25,Dataset!$A$2:$A$40,0),MATCH(Task_2!D$5,Dataset!$B$1:$X$1,0))</f>
        <v>79.400000000000006</v>
      </c>
      <c r="E25" s="11">
        <f>INDEX(Dataset!$B$2:$X$40,MATCH(Task_2!$A25,Dataset!$A$2:$A$40,0),MATCH(Task_2!E$5,Dataset!$B$1:$X$1,0))</f>
        <v>160.9</v>
      </c>
      <c r="F25" s="11">
        <f>INDEX(Dataset!$B$2:$X$40,MATCH(Task_2!$A25,Dataset!$A$2:$A$40,0),MATCH(Task_2!F$5,Dataset!$B$1:$X$1,0))</f>
        <v>79.400000000000006</v>
      </c>
    </row>
    <row r="26" spans="1:6" ht="14.5" x14ac:dyDescent="0.35">
      <c r="A26" s="7" t="s">
        <v>37</v>
      </c>
      <c r="B26" s="11">
        <f>INDEX(Dataset!$B$2:$X$40,MATCH(Task_2!$A26,Dataset!$A$2:$A$40,0),MATCH(Task_2!B$5,Dataset!$B$1:$X$1,0))</f>
        <v>49.1</v>
      </c>
      <c r="C26" s="11">
        <f>INDEX(Dataset!$B$2:$X$40,MATCH(Task_2!$A26,Dataset!$A$2:$A$40,0),MATCH(Task_2!C$5,Dataset!$B$1:$X$1,0))</f>
        <v>146.80000000000001</v>
      </c>
      <c r="D26" s="11">
        <f>INDEX(Dataset!$B$2:$X$40,MATCH(Task_2!$A26,Dataset!$A$2:$A$40,0),MATCH(Task_2!D$5,Dataset!$B$1:$X$1,0))</f>
        <v>90.9</v>
      </c>
      <c r="E26" s="11">
        <f>INDEX(Dataset!$B$2:$X$40,MATCH(Task_2!$A26,Dataset!$A$2:$A$40,0),MATCH(Task_2!E$5,Dataset!$B$1:$X$1,0))</f>
        <v>183.5</v>
      </c>
      <c r="F26" s="11">
        <f>INDEX(Dataset!$B$2:$X$40,MATCH(Task_2!$A26,Dataset!$A$2:$A$40,0),MATCH(Task_2!F$5,Dataset!$B$1:$X$1,0))</f>
        <v>90.9</v>
      </c>
    </row>
    <row r="27" spans="1:6" ht="14.5" x14ac:dyDescent="0.35">
      <c r="A27" s="7" t="s">
        <v>39</v>
      </c>
      <c r="B27" s="11">
        <f>INDEX(Dataset!$B$2:$X$40,MATCH(Task_2!$A27,Dataset!$A$2:$A$40,0),MATCH(Task_2!B$5,Dataset!$B$1:$X$1,0))</f>
        <v>51.8</v>
      </c>
      <c r="C27" s="11">
        <f>INDEX(Dataset!$B$2:$X$40,MATCH(Task_2!$A27,Dataset!$A$2:$A$40,0),MATCH(Task_2!C$5,Dataset!$B$1:$X$1,0))</f>
        <v>156.4</v>
      </c>
      <c r="D27" s="11">
        <f>INDEX(Dataset!$B$2:$X$40,MATCH(Task_2!$A27,Dataset!$A$2:$A$40,0),MATCH(Task_2!D$5,Dataset!$B$1:$X$1,0))</f>
        <v>93.1</v>
      </c>
      <c r="E27" s="11">
        <f>INDEX(Dataset!$B$2:$X$40,MATCH(Task_2!$A27,Dataset!$A$2:$A$40,0),MATCH(Task_2!E$5,Dataset!$B$1:$X$1,0))</f>
        <v>188.1</v>
      </c>
      <c r="F27" s="11">
        <f>INDEX(Dataset!$B$2:$X$40,MATCH(Task_2!$A27,Dataset!$A$2:$A$40,0),MATCH(Task_2!F$5,Dataset!$B$1:$X$1,0))</f>
        <v>93.1</v>
      </c>
    </row>
    <row r="28" spans="1:6" ht="14.5" x14ac:dyDescent="0.35">
      <c r="A28" s="18" t="s">
        <v>82</v>
      </c>
      <c r="B28" s="11">
        <f>MIN(B6:B27)</f>
        <v>-1</v>
      </c>
      <c r="C28" s="11">
        <f t="shared" ref="C28:F28" si="0">MIN(C6:C27)</f>
        <v>-1</v>
      </c>
      <c r="D28" s="11">
        <f t="shared" si="0"/>
        <v>-1</v>
      </c>
      <c r="E28" s="11">
        <f t="shared" si="0"/>
        <v>-1</v>
      </c>
      <c r="F28" s="11">
        <f t="shared" si="0"/>
        <v>-1</v>
      </c>
    </row>
    <row r="29" spans="1:6" ht="14.5" x14ac:dyDescent="0.35">
      <c r="A29" s="18" t="s">
        <v>83</v>
      </c>
      <c r="B29" s="11">
        <f>MAX(B6:B27)</f>
        <v>51.8</v>
      </c>
      <c r="C29" s="11">
        <f t="shared" ref="C29:F29" si="1">MAX(C6:C27)</f>
        <v>156.4</v>
      </c>
      <c r="D29" s="11">
        <f t="shared" si="1"/>
        <v>93.1</v>
      </c>
      <c r="E29" s="11">
        <f t="shared" si="1"/>
        <v>188.1</v>
      </c>
      <c r="F29" s="11">
        <f t="shared" si="1"/>
        <v>93.1</v>
      </c>
    </row>
    <row r="30" spans="1:6" ht="14.5" x14ac:dyDescent="0.35">
      <c r="A30" s="18" t="s">
        <v>84</v>
      </c>
      <c r="B30" s="11">
        <f>AVERAGE(B6:B27)</f>
        <v>20.827272727272728</v>
      </c>
      <c r="C30" s="11">
        <f t="shared" ref="C30:F30" si="2">AVERAGE(C6:C27)</f>
        <v>62.377272727272725</v>
      </c>
      <c r="D30" s="11">
        <f t="shared" si="2"/>
        <v>37.800000000000004</v>
      </c>
      <c r="E30" s="11">
        <f t="shared" si="2"/>
        <v>76.418181818181822</v>
      </c>
      <c r="F30" s="1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7" sqref="B7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 t="s">
        <v>177</v>
      </c>
    </row>
    <row r="6" spans="1:10" ht="18.5" x14ac:dyDescent="0.45">
      <c r="A6" s="42" t="s">
        <v>153</v>
      </c>
      <c r="B6" s="39" t="s">
        <v>178</v>
      </c>
    </row>
    <row r="7" spans="1:10" ht="18.5" x14ac:dyDescent="0.45">
      <c r="A7" s="42"/>
      <c r="B7" s="39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G10" sqref="G10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167</v>
      </c>
    </row>
    <row r="2" spans="1:3" ht="18.5" x14ac:dyDescent="0.45">
      <c r="B2" s="39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179</v>
      </c>
    </row>
    <row r="7" spans="1:3" ht="14.5" x14ac:dyDescent="0.35">
      <c r="A7" s="3" t="s">
        <v>153</v>
      </c>
      <c r="B7" s="1" t="s">
        <v>180</v>
      </c>
    </row>
    <row r="10" spans="1:3" ht="23.5" x14ac:dyDescent="0.55000000000000004">
      <c r="A10" s="17" t="s">
        <v>162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16">
        <v>200</v>
      </c>
    </row>
    <row r="13" spans="1:3" ht="14.5" x14ac:dyDescent="0.35">
      <c r="A13" s="31">
        <v>44928</v>
      </c>
      <c r="B13" s="16" t="s">
        <v>60</v>
      </c>
      <c r="C13" s="16" t="e">
        <v>#N/A</v>
      </c>
    </row>
    <row r="14" spans="1:3" ht="14.5" x14ac:dyDescent="0.35">
      <c r="A14" s="31">
        <v>44929</v>
      </c>
      <c r="B14" s="16" t="s">
        <v>61</v>
      </c>
      <c r="C14" s="16">
        <v>50</v>
      </c>
    </row>
    <row r="15" spans="1:3" ht="14.5" x14ac:dyDescent="0.35">
      <c r="A15" s="31">
        <v>44930</v>
      </c>
      <c r="B15" s="16" t="s">
        <v>62</v>
      </c>
      <c r="C15" s="16" t="e">
        <v>#N/A</v>
      </c>
    </row>
    <row r="16" spans="1:3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154</v>
      </c>
      <c r="C17" s="16">
        <v>150</v>
      </c>
    </row>
    <row r="18" spans="1:3" ht="14.5" x14ac:dyDescent="0.35">
      <c r="A18" s="31">
        <v>44933</v>
      </c>
      <c r="B18" s="16" t="s">
        <v>155</v>
      </c>
      <c r="C18" s="16">
        <v>80</v>
      </c>
    </row>
    <row r="19" spans="1:3" ht="14.5" x14ac:dyDescent="0.35">
      <c r="A19" s="31">
        <v>44934</v>
      </c>
      <c r="B19" s="16" t="s">
        <v>156</v>
      </c>
      <c r="C19" s="16" t="e">
        <v>#N/A</v>
      </c>
    </row>
    <row r="20" spans="1:3" ht="14.5" x14ac:dyDescent="0.35">
      <c r="A20" s="31">
        <v>44935</v>
      </c>
      <c r="B20" s="16" t="s">
        <v>157</v>
      </c>
      <c r="C20" s="16">
        <v>30</v>
      </c>
    </row>
    <row r="21" spans="1:3" ht="14.5" x14ac:dyDescent="0.35">
      <c r="A21" s="31">
        <v>44936</v>
      </c>
      <c r="B21" s="16" t="s">
        <v>158</v>
      </c>
      <c r="C21" s="16" t="e">
        <v>#N/A</v>
      </c>
    </row>
    <row r="22" spans="1:3" ht="14.5" x14ac:dyDescent="0.35">
      <c r="B22" s="16" t="s">
        <v>159</v>
      </c>
      <c r="C22" s="24" cm="1">
        <f t="array" ref="C22">SUM(IF(ISNA(C12:C21),20,C12:C21))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K8" sqref="K8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  <c r="C4" s="1" t="s">
        <v>181</v>
      </c>
    </row>
    <row r="5" spans="1:14" ht="18.5" x14ac:dyDescent="0.45">
      <c r="A5" s="42" t="s">
        <v>153</v>
      </c>
      <c r="B5" s="1" t="s">
        <v>182</v>
      </c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3">
        <f>INDEX($B$10:$J$18,MATCH(VLOOKUP($A23,$M$10:$N$18,2,FALSE),$A$10:$A$18,0),MATCH(VLOOKUP($B23,$M$10:$N$18,2,FALSE),$B$9:$J$9,0))</f>
        <v>95</v>
      </c>
    </row>
    <row r="24" spans="1:14" ht="14.5" x14ac:dyDescent="0.35">
      <c r="A24" s="7">
        <v>10100</v>
      </c>
      <c r="B24" s="11">
        <v>10104</v>
      </c>
      <c r="C24" s="43">
        <f t="shared" ref="C24:C35" si="0">INDEX($B$10:$J$18,MATCH(VLOOKUP($A24,$M$10:$N$18,2,FALSE),$A$10:$A$18,0),MATCH(VLOOKUP($B24,$M$10:$N$18,2,FALSE),$B$9:$J$9,0))</f>
        <v>-1</v>
      </c>
    </row>
    <row r="25" spans="1:14" ht="14.5" x14ac:dyDescent="0.35">
      <c r="A25" s="7">
        <v>10108</v>
      </c>
      <c r="B25" s="11">
        <v>10102</v>
      </c>
      <c r="C25" s="43">
        <f t="shared" si="0"/>
        <v>160</v>
      </c>
    </row>
    <row r="26" spans="1:14" ht="14.5" x14ac:dyDescent="0.35">
      <c r="A26" s="7">
        <v>10100</v>
      </c>
      <c r="B26" s="11">
        <v>10106</v>
      </c>
      <c r="C26" s="43">
        <f t="shared" si="0"/>
        <v>185</v>
      </c>
    </row>
    <row r="27" spans="1:14" ht="14.5" x14ac:dyDescent="0.35">
      <c r="A27" s="7">
        <v>10108</v>
      </c>
      <c r="B27" s="11">
        <v>10110</v>
      </c>
      <c r="C27" s="43">
        <f t="shared" si="0"/>
        <v>50</v>
      </c>
    </row>
    <row r="28" spans="1:14" ht="14.5" x14ac:dyDescent="0.35">
      <c r="A28" s="7">
        <v>10102</v>
      </c>
      <c r="B28" s="11">
        <v>10104</v>
      </c>
      <c r="C28" s="43">
        <f t="shared" si="0"/>
        <v>-1</v>
      </c>
    </row>
    <row r="29" spans="1:14" ht="14.5" x14ac:dyDescent="0.35">
      <c r="A29" s="7">
        <v>10106</v>
      </c>
      <c r="B29" s="11">
        <v>10108</v>
      </c>
      <c r="C29" s="43">
        <f t="shared" si="0"/>
        <v>70</v>
      </c>
    </row>
    <row r="30" spans="1:14" ht="14.5" x14ac:dyDescent="0.35">
      <c r="A30" s="7">
        <v>10102</v>
      </c>
      <c r="B30" s="11">
        <v>10106</v>
      </c>
      <c r="C30" s="43">
        <f t="shared" si="0"/>
        <v>90</v>
      </c>
    </row>
    <row r="31" spans="1:14" ht="14.5" x14ac:dyDescent="0.35">
      <c r="A31" s="7">
        <v>10110</v>
      </c>
      <c r="B31" s="11">
        <v>10114</v>
      </c>
      <c r="C31" s="43">
        <f t="shared" si="0"/>
        <v>180</v>
      </c>
    </row>
    <row r="32" spans="1:14" ht="14.5" x14ac:dyDescent="0.35">
      <c r="A32" s="7">
        <v>10104</v>
      </c>
      <c r="B32" s="11">
        <v>10106</v>
      </c>
      <c r="C32" s="43">
        <f t="shared" si="0"/>
        <v>60</v>
      </c>
    </row>
    <row r="33" spans="1:3" ht="14.5" x14ac:dyDescent="0.35">
      <c r="A33" s="7">
        <v>10110</v>
      </c>
      <c r="B33" s="11">
        <v>10112</v>
      </c>
      <c r="C33" s="43">
        <f t="shared" si="0"/>
        <v>115</v>
      </c>
    </row>
    <row r="34" spans="1:3" ht="14.5" x14ac:dyDescent="0.35">
      <c r="A34" s="7">
        <v>10100</v>
      </c>
      <c r="B34" s="11">
        <v>10114</v>
      </c>
      <c r="C34" s="43">
        <f t="shared" si="0"/>
        <v>480</v>
      </c>
    </row>
    <row r="35" spans="1:3" ht="14.5" x14ac:dyDescent="0.35">
      <c r="A35" s="8">
        <v>10112</v>
      </c>
      <c r="B35" s="12">
        <v>10116</v>
      </c>
      <c r="C35" s="43">
        <f t="shared" si="0"/>
        <v>105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VIKRANT</cp:lastModifiedBy>
  <dcterms:created xsi:type="dcterms:W3CDTF">2015-02-10T17:33:11Z</dcterms:created>
  <dcterms:modified xsi:type="dcterms:W3CDTF">2023-12-08T15:00:04Z</dcterms:modified>
</cp:coreProperties>
</file>